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Marksheet" sheetId="1" r:id="rId1"/>
  </sheets>
  <calcPr calcId="124519" fullCalcOnLoad="1"/>
</workbook>
</file>

<file path=xl/sharedStrings.xml><?xml version="1.0" encoding="utf-8"?>
<sst xmlns="http://schemas.openxmlformats.org/spreadsheetml/2006/main" count="93" uniqueCount="76">
  <si>
    <t>HARVARD UNIVERSITY</t>
  </si>
  <si>
    <t>BLOCKCHAIN &amp; DECENTRALIZED APPS - FINAL EXAM - CS408-SEC01 (2027-05-20) - Final Exam Official Ledger</t>
  </si>
  <si>
    <t>Course / Subject:</t>
  </si>
  <si>
    <t>[CS408] Blockchain &amp; Decentralized Apps</t>
  </si>
  <si>
    <t>Academic Period:</t>
  </si>
  <si>
    <t>2026-2027 - Semester 2</t>
  </si>
  <si>
    <t>Max Score:</t>
  </si>
  <si>
    <t>100.00 pts</t>
  </si>
  <si>
    <t>Class Section:</t>
  </si>
  <si>
    <t>CS408-SEC01</t>
  </si>
  <si>
    <t>Program / Major:</t>
  </si>
  <si>
    <t>Bachelor of Computer Science</t>
  </si>
  <si>
    <t>Passing Score:</t>
  </si>
  <si>
    <t>50.00 pts (50%)</t>
  </si>
  <si>
    <t>Instructor / Teacher:</t>
  </si>
  <si>
    <t>Alan Turing (TCH-2035)</t>
  </si>
  <si>
    <t>Department:</t>
  </si>
  <si>
    <t>Department of Computer Science</t>
  </si>
  <si>
    <t>Exam Weight:</t>
  </si>
  <si>
    <t>35.0%</t>
  </si>
  <si>
    <t>Exam Type:</t>
  </si>
  <si>
    <t>Final Exam</t>
  </si>
  <si>
    <t>Date &amp; Duration:</t>
  </si>
  <si>
    <t>2027-05-20 (120 minutes)</t>
  </si>
  <si>
    <t>Exam Status:</t>
  </si>
  <si>
    <t>Published</t>
  </si>
  <si>
    <t>No.</t>
  </si>
  <si>
    <t>Student ID</t>
  </si>
  <si>
    <t>Student Name</t>
  </si>
  <si>
    <t>Attendance</t>
  </si>
  <si>
    <t>Raw Score</t>
  </si>
  <si>
    <t>Penalty</t>
  </si>
  <si>
    <t>Final Score</t>
  </si>
  <si>
    <t>Percentage</t>
  </si>
  <si>
    <t>Result</t>
  </si>
  <si>
    <t>Grade</t>
  </si>
  <si>
    <t>Rank</t>
  </si>
  <si>
    <t>Remarks</t>
  </si>
  <si>
    <t>STD-2026-1927</t>
  </si>
  <si>
    <t>Dr. Vannak Seng</t>
  </si>
  <si>
    <t>Present</t>
  </si>
  <si>
    <t>0%</t>
  </si>
  <si>
    <t>Passed assessment with proficient mastery</t>
  </si>
  <si>
    <t>STD-2026-1928</t>
  </si>
  <si>
    <t>Sophanna Keo</t>
  </si>
  <si>
    <t>STD-2026-1929</t>
  </si>
  <si>
    <t>Sovanna Meas</t>
  </si>
  <si>
    <t>STD-2026-1930</t>
  </si>
  <si>
    <t>Kanha Ly</t>
  </si>
  <si>
    <t>STD-2026-1931</t>
  </si>
  <si>
    <t>Bora Chhay</t>
  </si>
  <si>
    <t xml:space="preserve">  CLASS EXAMINATION PERFORMANCE ANALYTICS</t>
  </si>
  <si>
    <t xml:space="preserve">  GRADE DISTRIBUTION BREAKDOWN</t>
  </si>
  <si>
    <t>Total Students Enrolled</t>
  </si>
  <si>
    <t>Grade A (90% - 100%)</t>
  </si>
  <si>
    <t>Students Present</t>
  </si>
  <si>
    <t>Grade B (80% - 89%)</t>
  </si>
  <si>
    <t>Students Absent</t>
  </si>
  <si>
    <t>Grade C (70% - 79%)</t>
  </si>
  <si>
    <t>Class Average Score</t>
  </si>
  <si>
    <t>Grade D (60% - 69%)</t>
  </si>
  <si>
    <t>Highest Score</t>
  </si>
  <si>
    <t>Grade F (Below 60%)</t>
  </si>
  <si>
    <t>Lowest Score (Present)</t>
  </si>
  <si>
    <t>Absent / Incomplete</t>
  </si>
  <si>
    <t>Passed Students</t>
  </si>
  <si>
    <t>Failed Students</t>
  </si>
  <si>
    <t>Class Passing Rate</t>
  </si>
  <si>
    <t>Prepared By (Instructor)</t>
  </si>
  <si>
    <t>Verified By (Department Head)</t>
  </si>
  <si>
    <t>Approved By (Academic Registrar / Dean)</t>
  </si>
  <si>
    <t>Office of Academic Affairs</t>
  </si>
  <si>
    <t>Signature: _______________________</t>
  </si>
  <si>
    <t>Official University Seal / Signature</t>
  </si>
  <si>
    <t>Date: _____ / _____ / 202___</t>
  </si>
  <si>
    <t>CONFIDENTIAL - This marksheet is an official academic record produced by the University Management Portal. Any unauthorized alteration or forgery is strictly prohibited.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</si>
</sst>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%"/>
    <numFmt numFmtId="166" formatCode="#,##0"/>
  </numFmts>
  <fonts count="15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334155"/>
      <name val="Calibri"/>
      <family val="2"/>
      <scheme val="minor"/>
    </font>
    <font>
      <b/>
      <sz val="9"/>
      <color rgb="FF0F172A"/>
      <name val="Calibri"/>
      <family val="2"/>
      <scheme val="minor"/>
    </font>
    <font>
      <b/>
      <sz val="9"/>
      <color rgb="FF166534"/>
      <name val="Calibri"/>
      <family val="2"/>
      <scheme val="minor"/>
    </font>
    <font>
      <b/>
      <sz val="9"/>
      <color rgb="FF1E40A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166534"/>
      <name val="Calibri"/>
      <family val="2"/>
      <scheme val="minor"/>
    </font>
    <font>
      <b/>
      <sz val="9"/>
      <color rgb="FF6B21A8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64748B"/>
      <name val="Calibri"/>
      <family val="2"/>
      <scheme val="minor"/>
    </font>
    <font>
      <i/>
      <sz val="8"/>
      <color rgb="FF64748B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C528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334155"/>
        <bgColor indexed="64"/>
      </patternFill>
    </fill>
  </fills>
  <borders count="6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2C5282"/>
      </left>
      <right style="thin">
        <color rgb="FF2C5282"/>
      </right>
      <top style="thin">
        <color rgb="FF2C5282"/>
      </top>
      <bottom style="thin">
        <color rgb="FF2C5282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9" fillId="4" borderId="3" xfId="0" applyNumberFormat="1" applyFont="1" applyFill="1" applyBorder="1" applyAlignment="1">
      <alignment horizontal="center" vertical="center"/>
    </xf>
    <xf numFmtId="165" fontId="9" fillId="9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8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164" fontId="8" fillId="9" borderId="3" xfId="0" applyNumberFormat="1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left" vertical="center"/>
    </xf>
    <xf numFmtId="0" fontId="7" fillId="11" borderId="5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166" fontId="9" fillId="0" borderId="3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5" fontId="5" fillId="6" borderId="3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3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5.7109375" customWidth="1"/>
    <col min="2" max="2" width="16.7109375" customWidth="1"/>
    <col min="3" max="3" width="26.7109375" customWidth="1"/>
    <col min="4" max="4" width="13.7109375" customWidth="1"/>
    <col min="5" max="5" width="12.7109375" customWidth="1"/>
    <col min="6" max="6" width="11.7109375" customWidth="1"/>
    <col min="7" max="8" width="13.7109375" customWidth="1"/>
    <col min="9" max="9" width="12.7109375" customWidth="1"/>
    <col min="10" max="10" width="10.7109375" customWidth="1"/>
    <col min="11" max="11" width="11.7109375" customWidth="1"/>
    <col min="12" max="12" width="22.7109375" customWidth="1"/>
  </cols>
  <sheetData>
    <row r="1" spans="1:12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6" customHeight="1"/>
    <row r="4" spans="1:12" ht="20" customHeight="1">
      <c r="A4" s="3" t="s">
        <v>2</v>
      </c>
      <c r="B4" s="4" t="s">
        <v>3</v>
      </c>
      <c r="C4" s="4"/>
      <c r="D4" s="4"/>
      <c r="E4" s="3" t="s">
        <v>4</v>
      </c>
      <c r="F4" s="3"/>
      <c r="G4" s="4" t="s">
        <v>5</v>
      </c>
      <c r="H4" s="4"/>
      <c r="I4" s="4"/>
      <c r="J4" s="3" t="s">
        <v>6</v>
      </c>
      <c r="K4" s="3"/>
      <c r="L4" s="5" t="s">
        <v>7</v>
      </c>
    </row>
    <row r="5" spans="1:12" ht="20" customHeight="1">
      <c r="A5" s="3" t="s">
        <v>8</v>
      </c>
      <c r="B5" s="4" t="s">
        <v>9</v>
      </c>
      <c r="C5" s="4"/>
      <c r="D5" s="4"/>
      <c r="E5" s="3" t="s">
        <v>10</v>
      </c>
      <c r="F5" s="3"/>
      <c r="G5" s="4" t="s">
        <v>11</v>
      </c>
      <c r="H5" s="4"/>
      <c r="I5" s="4"/>
      <c r="J5" s="3" t="s">
        <v>12</v>
      </c>
      <c r="K5" s="3"/>
      <c r="L5" s="6" t="s">
        <v>13</v>
      </c>
    </row>
    <row r="6" spans="1:12" ht="20" customHeight="1">
      <c r="A6" s="3" t="s">
        <v>14</v>
      </c>
      <c r="B6" s="4" t="s">
        <v>15</v>
      </c>
      <c r="C6" s="4"/>
      <c r="D6" s="4"/>
      <c r="E6" s="3" t="s">
        <v>16</v>
      </c>
      <c r="F6" s="3"/>
      <c r="G6" s="4" t="s">
        <v>17</v>
      </c>
      <c r="H6" s="4"/>
      <c r="I6" s="4"/>
      <c r="J6" s="3" t="s">
        <v>18</v>
      </c>
      <c r="K6" s="3"/>
      <c r="L6" s="5" t="s">
        <v>19</v>
      </c>
    </row>
    <row r="7" spans="1:12" ht="20" customHeight="1">
      <c r="A7" s="3" t="s">
        <v>20</v>
      </c>
      <c r="B7" s="7" t="s">
        <v>21</v>
      </c>
      <c r="C7" s="7"/>
      <c r="D7" s="7"/>
      <c r="E7" s="3" t="s">
        <v>22</v>
      </c>
      <c r="F7" s="3"/>
      <c r="G7" s="4" t="s">
        <v>23</v>
      </c>
      <c r="H7" s="4"/>
      <c r="I7" s="4"/>
      <c r="J7" s="3" t="s">
        <v>24</v>
      </c>
      <c r="K7" s="3"/>
      <c r="L7" s="7" t="s">
        <v>25</v>
      </c>
    </row>
    <row r="8" spans="1:12" ht="8" customHeight="1"/>
    <row r="9" spans="1:12" ht="26" customHeight="1">
      <c r="A9" s="8" t="s">
        <v>26</v>
      </c>
      <c r="B9" s="8" t="s">
        <v>27</v>
      </c>
      <c r="C9" s="8" t="s">
        <v>28</v>
      </c>
      <c r="D9" s="8" t="s">
        <v>29</v>
      </c>
      <c r="E9" s="8" t="s">
        <v>30</v>
      </c>
      <c r="F9" s="8" t="s">
        <v>31</v>
      </c>
      <c r="G9" s="8" t="s">
        <v>32</v>
      </c>
      <c r="H9" s="8" t="s">
        <v>33</v>
      </c>
      <c r="I9" s="8" t="s">
        <v>34</v>
      </c>
      <c r="J9" s="8" t="s">
        <v>35</v>
      </c>
      <c r="K9" s="8" t="s">
        <v>36</v>
      </c>
      <c r="L9" s="8" t="s">
        <v>37</v>
      </c>
    </row>
    <row r="10" spans="1:12" ht="20" customHeight="1">
      <c r="A10" s="9">
        <v>1</v>
      </c>
      <c r="B10" s="9" t="s">
        <v>38</v>
      </c>
      <c r="C10" s="10" t="s">
        <v>39</v>
      </c>
      <c r="D10" s="11" t="s">
        <v>40</v>
      </c>
      <c r="E10" s="12">
        <v>77</v>
      </c>
      <c r="F10" s="9" t="s">
        <v>41</v>
      </c>
      <c r="G10" s="13">
        <f>IF(D10="Absent",0.00,E10)</f>
        <v>77.0</v>
      </c>
      <c r="H10" s="14">
        <f>G10/100.00</f>
        <v>0.77</v>
      </c>
      <c r="I10" s="6" t="str">
        <f>IF(D10="Absent","ABSENT",IF(G10&gt;=50.00,"PASS","FAIL"))</f>
        <v>PASS</v>
      </c>
      <c r="J10" s="15" t="str">
        <f>IF(D10="Absent","-",IF(H10&gt;=0.9,"A",IF(H10&gt;=0.8,"B",IF(H10&gt;=0.7,"C",IF(H10&gt;=0.6,"D","F")))))</f>
        <v>C</v>
      </c>
      <c r="K10" s="16">
        <f>IF(D10="Absent","-",RANK(G10,$G$10:$G$14))</f>
        <v>5</v>
      </c>
      <c r="L10" s="17" t="s">
        <v>42</v>
      </c>
    </row>
    <row r="11" spans="1:12" ht="20" customHeight="1">
      <c r="A11" s="18">
        <v>2</v>
      </c>
      <c r="B11" s="18" t="s">
        <v>43</v>
      </c>
      <c r="C11" s="19" t="s">
        <v>44</v>
      </c>
      <c r="D11" s="11" t="s">
        <v>40</v>
      </c>
      <c r="E11" s="20">
        <v>86.7</v>
      </c>
      <c r="F11" s="18" t="s">
        <v>41</v>
      </c>
      <c r="G11" s="13">
        <f>IF(D11="Absent",0.00,E11)</f>
        <v>86.7</v>
      </c>
      <c r="H11" s="14">
        <f>G11/100.00</f>
        <v>0.867</v>
      </c>
      <c r="I11" s="6" t="str">
        <f>IF(D11="Absent","ABSENT",IF(G11&gt;=50.00,"PASS","FAIL"))</f>
        <v>PASS</v>
      </c>
      <c r="J11" s="15" t="str">
        <f>IF(D11="Absent","-",IF(H11&gt;=0.9,"A",IF(H11&gt;=0.8,"B",IF(H11&gt;=0.7,"C",IF(H11&gt;=0.6,"D","F")))))</f>
        <v>B</v>
      </c>
      <c r="K11" s="16">
        <f>IF(D11="Absent","-",RANK(G11,$G$10:$G$14))</f>
        <v>3</v>
      </c>
      <c r="L11" s="21" t="s">
        <v>42</v>
      </c>
    </row>
    <row r="12" spans="1:12" ht="20" customHeight="1">
      <c r="A12" s="9">
        <v>3</v>
      </c>
      <c r="B12" s="9" t="s">
        <v>45</v>
      </c>
      <c r="C12" s="10" t="s">
        <v>46</v>
      </c>
      <c r="D12" s="11" t="s">
        <v>40</v>
      </c>
      <c r="E12" s="12">
        <v>85</v>
      </c>
      <c r="F12" s="9" t="s">
        <v>41</v>
      </c>
      <c r="G12" s="13">
        <f>IF(D12="Absent",0.00,E12)</f>
        <v>85.0</v>
      </c>
      <c r="H12" s="14">
        <f>G12/100.00</f>
        <v>0.85</v>
      </c>
      <c r="I12" s="6" t="str">
        <f>IF(D12="Absent","ABSENT",IF(G12&gt;=50.00,"PASS","FAIL"))</f>
        <v>PASS</v>
      </c>
      <c r="J12" s="15" t="str">
        <f>IF(D12="Absent","-",IF(H12&gt;=0.9,"A",IF(H12&gt;=0.8,"B",IF(H12&gt;=0.7,"C",IF(H12&gt;=0.6,"D","F")))))</f>
        <v>B</v>
      </c>
      <c r="K12" s="16">
        <f>IF(D12="Absent","-",RANK(G12,$G$10:$G$14))</f>
        <v>4</v>
      </c>
      <c r="L12" s="17" t="s">
        <v>42</v>
      </c>
    </row>
    <row r="13" spans="1:12" ht="20" customHeight="1">
      <c r="A13" s="18">
        <v>4</v>
      </c>
      <c r="B13" s="18" t="s">
        <v>47</v>
      </c>
      <c r="C13" s="19" t="s">
        <v>48</v>
      </c>
      <c r="D13" s="11" t="s">
        <v>40</v>
      </c>
      <c r="E13" s="20">
        <v>93.7</v>
      </c>
      <c r="F13" s="18" t="s">
        <v>41</v>
      </c>
      <c r="G13" s="13">
        <f>IF(D13="Absent",0.00,E13)</f>
        <v>93.7</v>
      </c>
      <c r="H13" s="14">
        <f>G13/100.00</f>
        <v>0.937</v>
      </c>
      <c r="I13" s="6" t="str">
        <f>IF(D13="Absent","ABSENT",IF(G13&gt;=50.00,"PASS","FAIL"))</f>
        <v>PASS</v>
      </c>
      <c r="J13" s="15" t="str">
        <f>IF(D13="Absent","-",IF(H13&gt;=0.9,"A",IF(H13&gt;=0.8,"B",IF(H13&gt;=0.7,"C",IF(H13&gt;=0.6,"D","F")))))</f>
        <v>A</v>
      </c>
      <c r="K13" s="16">
        <f>IF(D13="Absent","-",RANK(G13,$G$10:$G$14))</f>
        <v>1</v>
      </c>
      <c r="L13" s="21" t="s">
        <v>42</v>
      </c>
    </row>
    <row r="14" spans="1:12" ht="20" customHeight="1">
      <c r="A14" s="9">
        <v>5</v>
      </c>
      <c r="B14" s="9" t="s">
        <v>49</v>
      </c>
      <c r="C14" s="10" t="s">
        <v>50</v>
      </c>
      <c r="D14" s="11" t="s">
        <v>40</v>
      </c>
      <c r="E14" s="12">
        <v>89.2</v>
      </c>
      <c r="F14" s="9" t="s">
        <v>41</v>
      </c>
      <c r="G14" s="13">
        <f>IF(D14="Absent",0.00,E14)</f>
        <v>89.2</v>
      </c>
      <c r="H14" s="14">
        <f>G14/100.00</f>
        <v>0.892</v>
      </c>
      <c r="I14" s="6" t="str">
        <f>IF(D14="Absent","ABSENT",IF(G14&gt;=50.00,"PASS","FAIL"))</f>
        <v>PASS</v>
      </c>
      <c r="J14" s="15" t="str">
        <f>IF(D14="Absent","-",IF(H14&gt;=0.9,"A",IF(H14&gt;=0.8,"B",IF(H14&gt;=0.7,"C",IF(H14&gt;=0.6,"D","F")))))</f>
        <v>B</v>
      </c>
      <c r="K14" s="16">
        <f>IF(D14="Absent","-",RANK(G14,$G$10:$G$14))</f>
        <v>2</v>
      </c>
      <c r="L14" s="17" t="s">
        <v>42</v>
      </c>
    </row>
    <row r="16" spans="1:12" ht="6" customHeight="1"/>
    <row r="17" spans="1:12" ht="22" customHeight="1">
      <c r="A17" s="22" t="s">
        <v>51</v>
      </c>
      <c r="B17" s="22"/>
      <c r="C17" s="22"/>
      <c r="D17" s="22"/>
      <c r="E17" s="22"/>
      <c r="F17" s="22"/>
      <c r="G17" s="22" t="s">
        <v>52</v>
      </c>
      <c r="H17" s="22"/>
      <c r="I17" s="22"/>
      <c r="J17" s="22"/>
      <c r="K17" s="22"/>
      <c r="L17" s="22"/>
    </row>
    <row r="18" spans="1:12" ht="19" customHeight="1">
      <c r="A18" s="23" t="s">
        <v>53</v>
      </c>
      <c r="B18" s="23"/>
      <c r="C18" s="23"/>
      <c r="D18" s="23"/>
      <c r="E18" s="24">
        <f>COUNTA(B10:B14)</f>
        <v>5</v>
      </c>
      <c r="F18" s="24"/>
      <c r="G18" s="23" t="s">
        <v>54</v>
      </c>
      <c r="H18" s="23"/>
      <c r="I18" s="23"/>
      <c r="J18" s="23"/>
      <c r="K18" s="24">
        <f>COUNTIF(J10:J14,"A")</f>
        <v>0</v>
      </c>
      <c r="L18" s="24"/>
    </row>
    <row r="19" spans="1:12" ht="19" customHeight="1">
      <c r="A19" s="23" t="s">
        <v>55</v>
      </c>
      <c r="B19" s="23"/>
      <c r="C19" s="23"/>
      <c r="D19" s="23"/>
      <c r="E19" s="24">
        <f>COUNTIF(D10:D14,"Present")</f>
        <v>5</v>
      </c>
      <c r="F19" s="24"/>
      <c r="G19" s="23" t="s">
        <v>56</v>
      </c>
      <c r="H19" s="23"/>
      <c r="I19" s="23"/>
      <c r="J19" s="23"/>
      <c r="K19" s="24">
        <f>COUNTIF(J10:J14,"B")</f>
        <v>0</v>
      </c>
      <c r="L19" s="24"/>
    </row>
    <row r="20" spans="1:12" ht="19" customHeight="1">
      <c r="A20" s="23" t="s">
        <v>57</v>
      </c>
      <c r="B20" s="23"/>
      <c r="C20" s="23"/>
      <c r="D20" s="23"/>
      <c r="E20" s="24">
        <f>COUNTIF(D10:D14,"Absent")</f>
        <v>0</v>
      </c>
      <c r="F20" s="24"/>
      <c r="G20" s="23" t="s">
        <v>58</v>
      </c>
      <c r="H20" s="23"/>
      <c r="I20" s="23"/>
      <c r="J20" s="23"/>
      <c r="K20" s="24">
        <f>COUNTIF(J10:J14,"C")</f>
        <v>0</v>
      </c>
      <c r="L20" s="24"/>
    </row>
    <row r="21" spans="1:12" ht="19" customHeight="1">
      <c r="A21" s="23" t="s">
        <v>59</v>
      </c>
      <c r="B21" s="23"/>
      <c r="C21" s="23"/>
      <c r="D21" s="23"/>
      <c r="E21" s="25">
        <f>IFERROR(ROUND(AVERAGEIF(D10:D14,"Present",G10:G14),2),0.00)</f>
        <v>86.32</v>
      </c>
      <c r="F21" s="25"/>
      <c r="G21" s="23" t="s">
        <v>60</v>
      </c>
      <c r="H21" s="23"/>
      <c r="I21" s="23"/>
      <c r="J21" s="23"/>
      <c r="K21" s="24">
        <f>COUNTIF(J10:J14,"D")</f>
        <v>0</v>
      </c>
      <c r="L21" s="24"/>
    </row>
    <row r="22" spans="1:12" ht="19" customHeight="1">
      <c r="A22" s="23" t="s">
        <v>61</v>
      </c>
      <c r="B22" s="23"/>
      <c r="C22" s="23"/>
      <c r="D22" s="23"/>
      <c r="E22" s="25">
        <f>IFERROR(MAX(G10:G14),0.00)</f>
        <v>93.7</v>
      </c>
      <c r="F22" s="25"/>
      <c r="G22" s="23" t="s">
        <v>62</v>
      </c>
      <c r="H22" s="23"/>
      <c r="I22" s="23"/>
      <c r="J22" s="23"/>
      <c r="K22" s="24">
        <f>COUNTIF(J10:J14,"F")</f>
        <v>0</v>
      </c>
      <c r="L22" s="24"/>
    </row>
    <row r="23" spans="1:12" ht="19" customHeight="1">
      <c r="A23" s="23" t="s">
        <v>63</v>
      </c>
      <c r="B23" s="23"/>
      <c r="C23" s="23"/>
      <c r="D23" s="23"/>
      <c r="E23" s="25">
        <f>IFERROR(MINIFS(G10:G14,D10:D14,"Present"),0.00)</f>
        <v>77.0</v>
      </c>
      <c r="F23" s="25"/>
      <c r="G23" s="23" t="s">
        <v>64</v>
      </c>
      <c r="H23" s="23"/>
      <c r="I23" s="23"/>
      <c r="J23" s="23"/>
      <c r="K23" s="24">
        <f>COUNTIF(D10:D14,"Absent")</f>
        <v>0</v>
      </c>
      <c r="L23" s="24"/>
    </row>
    <row r="24" spans="1:12" ht="19" customHeight="1">
      <c r="A24" s="23" t="s">
        <v>65</v>
      </c>
      <c r="B24" s="23"/>
      <c r="C24" s="23"/>
      <c r="D24" s="23"/>
      <c r="E24" s="24">
        <f>COUNTIF(I10:I14,"PASS")</f>
        <v>5</v>
      </c>
      <c r="F24" s="24"/>
    </row>
    <row r="25" spans="1:12" ht="19" customHeight="1">
      <c r="A25" s="23" t="s">
        <v>66</v>
      </c>
      <c r="B25" s="23"/>
      <c r="C25" s="23"/>
      <c r="D25" s="23"/>
      <c r="E25" s="24">
        <f>COUNTIF(I10:I14,"FAIL")</f>
        <v>0</v>
      </c>
      <c r="F25" s="24"/>
    </row>
    <row r="26" spans="1:12" ht="19" customHeight="1">
      <c r="A26" s="23" t="s">
        <v>67</v>
      </c>
      <c r="B26" s="23"/>
      <c r="C26" s="23"/>
      <c r="D26" s="23"/>
      <c r="E26" s="26">
        <f>IFERROR(ROUND(COUNTIF(I10:I14,"PASS")/MAX(1,COUNTIF(D10:D14,"Present")),4),0.0000)</f>
        <v>1.0</v>
      </c>
      <c r="F26" s="26"/>
    </row>
    <row r="28" spans="1:12" ht="20" customHeight="1">
      <c r="A28" s="15" t="s">
        <v>68</v>
      </c>
      <c r="B28" s="15"/>
      <c r="C28" s="15"/>
      <c r="D28" s="15"/>
      <c r="E28" s="15" t="s">
        <v>69</v>
      </c>
      <c r="F28" s="15"/>
      <c r="G28" s="15"/>
      <c r="H28" s="15"/>
      <c r="I28" s="15" t="s">
        <v>70</v>
      </c>
      <c r="J28" s="15"/>
      <c r="K28" s="15"/>
      <c r="L28" s="15"/>
    </row>
    <row r="29" spans="1:12" ht="18" customHeight="1">
      <c r="A29" s="9" t="s">
        <v>15</v>
      </c>
      <c r="B29" s="9"/>
      <c r="C29" s="9"/>
      <c r="D29" s="9"/>
      <c r="E29" s="9" t="s">
        <v>17</v>
      </c>
      <c r="F29" s="9"/>
      <c r="G29" s="9"/>
      <c r="H29" s="9"/>
      <c r="I29" s="9" t="s">
        <v>71</v>
      </c>
      <c r="J29" s="9"/>
      <c r="K29" s="9"/>
      <c r="L29" s="9"/>
    </row>
    <row r="30" spans="1:12" ht="18" customHeight="1">
      <c r="A30" s="27" t="s">
        <v>72</v>
      </c>
      <c r="B30" s="27"/>
      <c r="C30" s="27"/>
      <c r="D30" s="27"/>
      <c r="E30" s="27" t="s">
        <v>72</v>
      </c>
      <c r="F30" s="27"/>
      <c r="G30" s="27"/>
      <c r="H30" s="27"/>
      <c r="I30" s="27" t="s">
        <v>73</v>
      </c>
      <c r="J30" s="27"/>
      <c r="K30" s="27"/>
      <c r="L30" s="27"/>
    </row>
    <row r="31" spans="1:12" ht="18" customHeight="1">
      <c r="A31" s="27" t="s">
        <v>74</v>
      </c>
      <c r="B31" s="27"/>
      <c r="C31" s="27"/>
      <c r="D31" s="27"/>
      <c r="E31" s="27" t="s">
        <v>74</v>
      </c>
      <c r="F31" s="27"/>
      <c r="G31" s="27"/>
      <c r="H31" s="27"/>
      <c r="I31" s="27" t="s">
        <v>74</v>
      </c>
      <c r="J31" s="27"/>
      <c r="K31" s="27"/>
      <c r="L31" s="27"/>
    </row>
    <row r="33" spans="1:12">
      <c r="A33" s="28" t="s">
        <v>75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</row>
  </sheetData>
  <mergeCells count="63">
    <mergeCell ref="A1:L1"/>
    <mergeCell ref="A2:L2"/>
    <mergeCell ref="B4:D4"/>
    <mergeCell ref="E4:F4"/>
    <mergeCell ref="G4:I4"/>
    <mergeCell ref="J4:K4"/>
    <mergeCell ref="B5:D5"/>
    <mergeCell ref="E5:F5"/>
    <mergeCell ref="G5:I5"/>
    <mergeCell ref="J5:K5"/>
    <mergeCell ref="B6:D6"/>
    <mergeCell ref="E6:F6"/>
    <mergeCell ref="G6:I6"/>
    <mergeCell ref="J6:K6"/>
    <mergeCell ref="B7:D7"/>
    <mergeCell ref="E7:F7"/>
    <mergeCell ref="G7:I7"/>
    <mergeCell ref="J7:K7"/>
    <mergeCell ref="A17:F17"/>
    <mergeCell ref="G17:L17"/>
    <mergeCell ref="A18:D18"/>
    <mergeCell ref="E18:F18"/>
    <mergeCell ref="G18:J18"/>
    <mergeCell ref="K18:L18"/>
    <mergeCell ref="A19:D19"/>
    <mergeCell ref="E19:F19"/>
    <mergeCell ref="G19:J19"/>
    <mergeCell ref="K19:L19"/>
    <mergeCell ref="A20:D20"/>
    <mergeCell ref="E20:F20"/>
    <mergeCell ref="G20:J20"/>
    <mergeCell ref="K20:L20"/>
    <mergeCell ref="A21:D21"/>
    <mergeCell ref="E21:F21"/>
    <mergeCell ref="G21:J21"/>
    <mergeCell ref="K21:L21"/>
    <mergeCell ref="A22:D22"/>
    <mergeCell ref="E22:F22"/>
    <mergeCell ref="G22:J22"/>
    <mergeCell ref="K22:L22"/>
    <mergeCell ref="A23:D23"/>
    <mergeCell ref="E23:F23"/>
    <mergeCell ref="G23:J23"/>
    <mergeCell ref="K23:L23"/>
    <mergeCell ref="A24:D24"/>
    <mergeCell ref="E24:F24"/>
    <mergeCell ref="A25:D25"/>
    <mergeCell ref="E25:F25"/>
    <mergeCell ref="A26:D26"/>
    <mergeCell ref="E26:F26"/>
    <mergeCell ref="A28:D28"/>
    <mergeCell ref="E28:H28"/>
    <mergeCell ref="I28:L28"/>
    <mergeCell ref="A29:D29"/>
    <mergeCell ref="E29:H29"/>
    <mergeCell ref="I29:L29"/>
    <mergeCell ref="A30:D30"/>
    <mergeCell ref="E30:H30"/>
    <mergeCell ref="I30:L30"/>
    <mergeCell ref="A31:D31"/>
    <mergeCell ref="E31:H31"/>
    <mergeCell ref="I31:L31"/>
    <mergeCell ref="A33:L33"/>
  </mergeCells>
  <printOptions gridLines="1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2026-10-27T07:38:40Z</dcterms:created>
  <dcterms:modified xsi:type="dcterms:W3CDTF">2026-10-27T07:38:40Z</dcterms:modified>
</cp:coreProperties>
</file>